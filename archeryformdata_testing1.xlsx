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DROHOVER\robo\GitHub\Archery_form\"/>
    </mc:Choice>
  </mc:AlternateContent>
  <xr:revisionPtr revIDLastSave="0" documentId="13_ncr:1_{28272D49-2C2E-4AC7-985C-D236B20CF454}" xr6:coauthVersionLast="47" xr6:coauthVersionMax="47" xr10:uidLastSave="{00000000-0000-0000-0000-000000000000}"/>
  <bookViews>
    <workbookView xWindow="1920" yWindow="1530" windowWidth="21600" windowHeight="11835" activeTab="2" xr2:uid="{47CC7F97-7C9A-42D8-B639-6439813E932C}"/>
  </bookViews>
  <sheets>
    <sheet name="Info" sheetId="1" r:id="rId1"/>
    <sheet name="Thresholds" sheetId="2" r:id="rId2"/>
    <sheet name="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7" i="3" l="1" a="1"/>
  <c r="N7" i="3" s="1"/>
  <c r="N6" i="3" a="1"/>
  <c r="N6" i="3" s="1"/>
  <c r="O3" i="3"/>
  <c r="O4" i="3"/>
  <c r="O5" i="3"/>
  <c r="O6" i="3"/>
  <c r="O7" i="3"/>
  <c r="O2" i="3"/>
  <c r="N5" i="3" a="1"/>
  <c r="N5" i="3" s="1"/>
  <c r="N4" i="3" a="1"/>
  <c r="N4" i="3" s="1"/>
  <c r="N3" i="3" a="1"/>
  <c r="N3" i="3" s="1"/>
  <c r="N2" i="3" a="1"/>
  <c r="N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<sst xmlns="http://schemas.openxmlformats.org/spreadsheetml/2006/main" count="111" uniqueCount="40">
  <si>
    <t>Day:</t>
  </si>
  <si>
    <t>Coach and archery score range:</t>
  </si>
  <si>
    <t>1-5(1 worst, 5 best)</t>
  </si>
  <si>
    <t>Raw metrics:</t>
  </si>
  <si>
    <t>Higher score means worse, 0 means exact same as average</t>
  </si>
  <si>
    <t>Camera:</t>
  </si>
  <si>
    <t>Nothing Phone 3 50mp front camera, 30 fps via Iriun Webcam app</t>
  </si>
  <si>
    <t xml:space="preserve"> Wrist thresholds</t>
  </si>
  <si>
    <t>Value</t>
  </si>
  <si>
    <t>Score</t>
  </si>
  <si>
    <t>Nose Thresholds</t>
  </si>
  <si>
    <t>Elbow Angle Thresholds</t>
  </si>
  <si>
    <t>Shot No.</t>
  </si>
  <si>
    <t>End</t>
  </si>
  <si>
    <t>Flag</t>
  </si>
  <si>
    <t>Coach rating (1-5)</t>
  </si>
  <si>
    <t>Kush Feel (1-5)</t>
  </si>
  <si>
    <t>Mean Elbow Angle Disp</t>
  </si>
  <si>
    <t>Mean Nose Disp</t>
  </si>
  <si>
    <t>Mean Wrist Disp</t>
  </si>
  <si>
    <t>Consistency Score</t>
  </si>
  <si>
    <t>Final Score</t>
  </si>
  <si>
    <t>W/ coach</t>
  </si>
  <si>
    <t>Normal</t>
  </si>
  <si>
    <t>N/A</t>
  </si>
  <si>
    <t>Threshold Score (Provisional, not tuned)</t>
  </si>
  <si>
    <t>No_coach</t>
  </si>
  <si>
    <t>Factor</t>
  </si>
  <si>
    <t>n</t>
  </si>
  <si>
    <t>Wrist movement</t>
  </si>
  <si>
    <t>Nose movement</t>
  </si>
  <si>
    <t>Shoulder angle movement</t>
  </si>
  <si>
    <t>Threshold score</t>
  </si>
  <si>
    <t>Conssitency score</t>
  </si>
  <si>
    <t>Final score</t>
  </si>
  <si>
    <t>Agreement with coach (Spearman p) pos = agree, neg = disagree</t>
  </si>
  <si>
    <t>head</t>
  </si>
  <si>
    <t>deliberate error</t>
  </si>
  <si>
    <t>wrist</t>
  </si>
  <si>
    <t>elbow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</si>
</sst>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5" fontId="0" fillId="0" borderId="0" xfId="0" applyNumberFormat="1"/>
    <xf numFmtId="0" fontId="0" fillId="0" borderId="0" xfId="0" applyAlignment="1">
      <alignment horizontal="center"/>
    </xf>
    <xf numFmtId="0" fontId="2" fillId="0" borderId="0" xfId="1" applyFont="1"/>
    <xf numFmtId="2" fontId="2" fillId="0" borderId="0" xfId="1" applyNumberFormat="1" applyFont="1"/>
  </cellXfs>
  <cellStyles count="2">
    <cellStyle name="Normal" xfId="0" builtinId="0"/>
    <cellStyle name="Normal 2" xfId="1" xr:uid="{422F1D33-1F07-4EE6-983E-5650ABA4CC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98F312-0264-4DA7-9038-61F89DE20453}" name="Table2" displayName="Table2" ref="A1:K47" totalsRowShown="0">
  <autoFilter ref="A1:K47" xr:uid="{AC98F312-0264-4DA7-9038-61F89DE20453}"/>
  <tableColumns count="11">
    <tableColumn id="1" xr3:uid="{927D8357-66B2-4CFF-8FB7-06ECFDA567D3}" name="Shot No."/>
    <tableColumn id="2" xr3:uid="{EF83E3C3-B31B-40EC-A48C-764F98A655D9}" name="End"/>
    <tableColumn id="3" xr3:uid="{1C908C2B-FD7B-4A20-88BC-FD20233FE8E6}" name="Flag"/>
    <tableColumn id="4" xr3:uid="{494DFD30-4168-4023-B525-E3C1FA8674C9}" name="Coach rating (1-5)"/>
    <tableColumn id="5" xr3:uid="{E25486D4-4017-41A1-94C5-E3CAA12296A4}" name="Kush Feel (1-5)"/>
    <tableColumn id="6" xr3:uid="{E315C377-389A-4A9A-B49C-4CCABED85974}" name="Mean Wrist Disp"/>
    <tableColumn id="7" xr3:uid="{FEA67B05-2B31-4ACA-A6B1-E5AF84683D80}" name="Mean Nose Disp"/>
    <tableColumn id="8" xr3:uid="{F614A017-7F94-4C4C-A91F-27B174EC8B73}" name="Mean Elbow Angle Disp"/>
    <tableColumn id="9" xr3:uid="{27E288EC-66FC-45FE-9A28-44B8CF70BD12}" name="Threshold Score (Provisional, not tuned)"/>
    <tableColumn id="10" xr3:uid="{68282633-B448-48DC-A112-F529EDDF5FDA}" name="Consistency Score"/>
    <tableColumn id="11" xr3:uid="{EED0B4E3-F92B-4CDF-B056-AD3704466572}" name="Final 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10E8F-B798-4CCA-BB5E-AE8775CA52A7}">
  <dimension ref="A1:B4"/>
  <sheetViews>
    <sheetView workbookViewId="0">
      <selection activeCell="A5" sqref="A5"/>
    </sheetView>
  </sheetViews>
  <sheetFormatPr defaultRowHeight="15" x14ac:dyDescent="0.25"/>
  <cols>
    <col min="1" max="1" width="28.7109375" bestFit="1" customWidth="1"/>
    <col min="2" max="2" width="60" bestFit="1" customWidth="1"/>
  </cols>
  <sheetData>
    <row r="1" spans="1:2" x14ac:dyDescent="0.25">
      <c r="A1" t="s">
        <v>0</v>
      </c>
      <c r="B1" s="1">
        <v>46322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C5517-0850-4039-985A-13B2E2AA4E45}">
  <dimension ref="A1:H7"/>
  <sheetViews>
    <sheetView workbookViewId="0">
      <selection activeCell="I7" sqref="I7"/>
    </sheetView>
  </sheetViews>
  <sheetFormatPr defaultRowHeight="15" x14ac:dyDescent="0.25"/>
  <cols>
    <col min="7" max="8" width="13" customWidth="1"/>
  </cols>
  <sheetData>
    <row r="1" spans="1:8" x14ac:dyDescent="0.25">
      <c r="A1" s="2" t="s">
        <v>7</v>
      </c>
      <c r="B1" s="2"/>
      <c r="D1" s="2" t="s">
        <v>10</v>
      </c>
      <c r="E1" s="2"/>
      <c r="G1" s="2" t="s">
        <v>11</v>
      </c>
      <c r="H1" s="2"/>
    </row>
    <row r="2" spans="1:8" x14ac:dyDescent="0.25">
      <c r="A2" t="s">
        <v>8</v>
      </c>
      <c r="B2" t="s">
        <v>9</v>
      </c>
      <c r="D2" t="s">
        <v>8</v>
      </c>
      <c r="E2" t="s">
        <v>9</v>
      </c>
      <c r="G2" t="s">
        <v>8</v>
      </c>
      <c r="H2" t="s">
        <v>9</v>
      </c>
    </row>
    <row r="3" spans="1:8" x14ac:dyDescent="0.25">
      <c r="A3">
        <v>0</v>
      </c>
      <c r="B3">
        <v>100</v>
      </c>
      <c r="D3">
        <v>0</v>
      </c>
      <c r="E3">
        <v>100</v>
      </c>
      <c r="G3">
        <v>0</v>
      </c>
      <c r="H3">
        <v>100</v>
      </c>
    </row>
    <row r="4" spans="1:8" x14ac:dyDescent="0.25">
      <c r="A4">
        <v>6</v>
      </c>
      <c r="B4">
        <v>90</v>
      </c>
      <c r="D4">
        <v>25</v>
      </c>
      <c r="E4">
        <v>90</v>
      </c>
      <c r="G4">
        <v>8</v>
      </c>
      <c r="H4">
        <v>90</v>
      </c>
    </row>
    <row r="5" spans="1:8" x14ac:dyDescent="0.25">
      <c r="A5">
        <v>16</v>
      </c>
      <c r="B5">
        <v>70</v>
      </c>
      <c r="D5">
        <v>40</v>
      </c>
      <c r="E5">
        <v>70</v>
      </c>
      <c r="G5">
        <v>10</v>
      </c>
      <c r="H5">
        <v>80</v>
      </c>
    </row>
    <row r="6" spans="1:8" x14ac:dyDescent="0.25">
      <c r="A6">
        <v>30</v>
      </c>
      <c r="B6">
        <v>40</v>
      </c>
      <c r="D6">
        <v>60</v>
      </c>
      <c r="E6">
        <v>40</v>
      </c>
      <c r="G6">
        <v>20</v>
      </c>
      <c r="H6">
        <v>50</v>
      </c>
    </row>
    <row r="7" spans="1:8" x14ac:dyDescent="0.25">
      <c r="A7">
        <v>32</v>
      </c>
      <c r="B7">
        <v>20</v>
      </c>
    </row>
  </sheetData>
  <mergeCells count="3">
    <mergeCell ref="A1:B1"/>
    <mergeCell ref="D1:E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8407-1C9E-4549-BC15-4546659D2ADA}">
  <dimension ref="A1:O47"/>
  <sheetViews>
    <sheetView tabSelected="1" topLeftCell="A34" workbookViewId="0">
      <selection activeCell="D44" sqref="D44"/>
    </sheetView>
  </sheetViews>
  <sheetFormatPr defaultRowHeight="15" x14ac:dyDescent="0.25"/>
  <cols>
    <col min="1" max="1" width="10.7109375" customWidth="1"/>
    <col min="3" max="3" width="13.42578125" bestFit="1" customWidth="1"/>
    <col min="4" max="4" width="10.85546875" customWidth="1"/>
    <col min="5" max="5" width="14" customWidth="1"/>
    <col min="6" max="6" width="21.7109375" bestFit="1" customWidth="1"/>
    <col min="7" max="7" width="22.28515625" bestFit="1" customWidth="1"/>
    <col min="8" max="8" width="24" customWidth="1"/>
    <col min="9" max="9" width="24.42578125" customWidth="1"/>
    <col min="10" max="10" width="19" customWidth="1"/>
    <col min="11" max="11" width="12.7109375" customWidth="1"/>
    <col min="13" max="13" width="24.85546875" bestFit="1" customWidth="1"/>
    <col min="14" max="14" width="34" bestFit="1" customWidth="1"/>
    <col min="15" max="15" width="3" bestFit="1" customWidth="1"/>
  </cols>
  <sheetData>
    <row r="1" spans="1:1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19</v>
      </c>
      <c r="G1" t="s">
        <v>18</v>
      </c>
      <c r="H1" t="s">
        <v>17</v>
      </c>
      <c r="I1" t="s">
        <v>25</v>
      </c>
      <c r="J1" t="s">
        <v>20</v>
      </c>
      <c r="K1" t="s">
        <v>21</v>
      </c>
      <c r="M1" t="s">
        <v>27</v>
      </c>
      <c r="N1" t="s">
        <v>35</v>
      </c>
      <c r="O1" t="s">
        <v>28</v>
      </c>
    </row>
    <row r="2" spans="1:15" x14ac:dyDescent="0.25">
      <c r="A2">
        <v>1</v>
      </c>
      <c r="B2">
        <v>1</v>
      </c>
      <c r="C2" t="s">
        <v>26</v>
      </c>
      <c r="D2" t="s">
        <v>24</v>
      </c>
      <c r="E2">
        <v>3</v>
      </c>
      <c r="F2">
        <v>39.655327909911598</v>
      </c>
      <c r="G2">
        <v>107.689431658014</v>
      </c>
      <c r="H2">
        <v>13.673746304705</v>
      </c>
      <c r="I2">
        <v>42.992920361961602</v>
      </c>
      <c r="J2">
        <v>100</v>
      </c>
      <c r="K2">
        <v>71.496460180980804</v>
      </c>
      <c r="M2" t="s">
        <v>29</v>
      </c>
      <c r="N2" cm="1">
        <f t="array" ref="N2">-CORREL(_xlfn.RANK.AVG($F$20:$F$37,$F$20:$F$37,1),_xlfn.RANK.AVG($D$20:$D$37,$D$20:$D$37,1))</f>
        <v>-0.13527330333839052</v>
      </c>
      <c r="O2">
        <f>COUNT($D$20:$D$37)</f>
        <v>18</v>
      </c>
    </row>
    <row r="3" spans="1:15" x14ac:dyDescent="0.25">
      <c r="A3">
        <v>2</v>
      </c>
      <c r="B3">
        <v>1</v>
      </c>
      <c r="C3" t="s">
        <v>26</v>
      </c>
      <c r="D3" t="s">
        <v>24</v>
      </c>
      <c r="E3">
        <v>1</v>
      </c>
      <c r="F3">
        <v>47.206916366799902</v>
      </c>
      <c r="G3">
        <v>244.79176653384701</v>
      </c>
      <c r="H3">
        <v>13.762312268104401</v>
      </c>
      <c r="I3">
        <v>42.904354398562198</v>
      </c>
      <c r="J3">
        <v>35.038603880661</v>
      </c>
      <c r="K3">
        <v>38.971479139611603</v>
      </c>
      <c r="M3" t="s">
        <v>30</v>
      </c>
      <c r="N3" cm="1">
        <f t="array" ref="N3">-CORREL(_xlfn.RANK.AVG($G$20:$G$37,$G$20:$G$37,1),_xlfn.RANK.AVG($D$20:$D$37,$D$20:$D$37,1))</f>
        <v>-0.10885273628011113</v>
      </c>
      <c r="O3">
        <f t="shared" ref="O3:O7" si="0">COUNT($D$20:$D$37)</f>
        <v>18</v>
      </c>
    </row>
    <row r="4" spans="1:15" x14ac:dyDescent="0.25">
      <c r="A4">
        <v>3</v>
      </c>
      <c r="B4">
        <v>1</v>
      </c>
      <c r="C4" t="s">
        <v>26</v>
      </c>
      <c r="D4" t="s">
        <v>24</v>
      </c>
      <c r="E4">
        <v>3</v>
      </c>
      <c r="F4">
        <v>49.562834328639902</v>
      </c>
      <c r="G4">
        <v>214.68549054150199</v>
      </c>
      <c r="H4">
        <v>17.076413848061399</v>
      </c>
      <c r="I4">
        <v>39.590252818605201</v>
      </c>
      <c r="J4">
        <v>40.501494460078</v>
      </c>
      <c r="K4">
        <v>40.0458736393416</v>
      </c>
      <c r="M4" t="s">
        <v>31</v>
      </c>
      <c r="N4" cm="1">
        <f t="array" ref="N4">-CORREL(_xlfn.RANK.AVG($H$20:$H$37,$H$20:$H$37,1),_xlfn.RANK.AVG($D$20:$D$37,$D$20:$D$37,1))</f>
        <v>0.23144416743052754</v>
      </c>
      <c r="O4">
        <f t="shared" si="0"/>
        <v>18</v>
      </c>
    </row>
    <row r="5" spans="1:15" x14ac:dyDescent="0.25">
      <c r="A5">
        <v>4</v>
      </c>
      <c r="B5">
        <v>1</v>
      </c>
      <c r="C5" t="s">
        <v>26</v>
      </c>
      <c r="D5" t="s">
        <v>24</v>
      </c>
      <c r="E5">
        <v>3</v>
      </c>
      <c r="F5">
        <v>36.673969685704698</v>
      </c>
      <c r="G5">
        <v>72.653062435545607</v>
      </c>
      <c r="H5">
        <v>12.5145441980561</v>
      </c>
      <c r="I5">
        <v>44.1521224686105</v>
      </c>
      <c r="J5">
        <v>30.7342362919015</v>
      </c>
      <c r="K5">
        <v>37.443179380255998</v>
      </c>
      <c r="M5" t="s">
        <v>32</v>
      </c>
      <c r="N5" cm="1">
        <f t="array" ref="N5">CORREL(_xlfn.RANK.AVG($I$20:$I$37,$I$20:$I$37,1),_xlfn.RANK.AVG($D$20:$D$37,$D$20:$D$37,1))</f>
        <v>9.5114041409805838E-2</v>
      </c>
      <c r="O5">
        <f t="shared" si="0"/>
        <v>18</v>
      </c>
    </row>
    <row r="6" spans="1:15" x14ac:dyDescent="0.25">
      <c r="A6">
        <v>5</v>
      </c>
      <c r="B6">
        <v>1</v>
      </c>
      <c r="C6" t="s">
        <v>26</v>
      </c>
      <c r="D6" t="s">
        <v>24</v>
      </c>
      <c r="E6">
        <v>2</v>
      </c>
      <c r="F6">
        <v>47.1118536829105</v>
      </c>
      <c r="G6">
        <v>100.82753229925</v>
      </c>
      <c r="H6">
        <v>12.5530896631186</v>
      </c>
      <c r="I6">
        <v>44.113577003548002</v>
      </c>
      <c r="J6">
        <v>40.813900221201003</v>
      </c>
      <c r="K6">
        <v>42.463738612374499</v>
      </c>
      <c r="M6" t="s">
        <v>33</v>
      </c>
      <c r="N6" cm="1">
        <f t="array" ref="N6">CORREL(_xlfn.RANK.AVG($J$20:$J$37,$J$20:$J$37,1),_xlfn.RANK.AVG($D$20:$D$37,$D$20:$D$37,1))</f>
        <v>0.10356862286845525</v>
      </c>
      <c r="O6">
        <f t="shared" si="0"/>
        <v>18</v>
      </c>
    </row>
    <row r="7" spans="1:15" x14ac:dyDescent="0.25">
      <c r="A7">
        <v>6</v>
      </c>
      <c r="B7">
        <v>1</v>
      </c>
      <c r="C7" t="s">
        <v>26</v>
      </c>
      <c r="D7" t="s">
        <v>24</v>
      </c>
      <c r="E7">
        <v>4</v>
      </c>
      <c r="F7">
        <v>33.5376901101477</v>
      </c>
      <c r="G7">
        <v>202.66060111250201</v>
      </c>
      <c r="H7">
        <v>5.4589558698941598</v>
      </c>
      <c r="I7">
        <v>51.058768387544099</v>
      </c>
      <c r="J7">
        <v>33.8315643362237</v>
      </c>
      <c r="K7">
        <v>42.445166361883899</v>
      </c>
      <c r="M7" t="s">
        <v>34</v>
      </c>
      <c r="N7" cm="1">
        <f t="array" ref="N7">CORREL(_xlfn.RANK.AVG($K$20:$K$37,$K$20:$K$37,1),_xlfn.RANK.AVG($D$20:$D$37,$D$20:$D$37,1))</f>
        <v>0.15112564357335817</v>
      </c>
      <c r="O7">
        <f t="shared" si="0"/>
        <v>18</v>
      </c>
    </row>
    <row r="8" spans="1:15" x14ac:dyDescent="0.25">
      <c r="A8">
        <v>7</v>
      </c>
      <c r="B8">
        <v>2</v>
      </c>
      <c r="C8" t="s">
        <v>26</v>
      </c>
      <c r="D8" t="s">
        <v>24</v>
      </c>
      <c r="E8">
        <v>3</v>
      </c>
      <c r="F8">
        <v>28.7992203312321</v>
      </c>
      <c r="G8">
        <v>80.820082258359093</v>
      </c>
      <c r="H8">
        <v>7.0624359598892896</v>
      </c>
      <c r="I8">
        <v>57.915018113451701</v>
      </c>
      <c r="J8">
        <v>30.1201107994073</v>
      </c>
      <c r="K8">
        <v>44.017564456429497</v>
      </c>
    </row>
    <row r="9" spans="1:15" x14ac:dyDescent="0.25">
      <c r="A9">
        <v>8</v>
      </c>
      <c r="B9">
        <v>2</v>
      </c>
      <c r="C9" t="s">
        <v>26</v>
      </c>
      <c r="D9" t="s">
        <v>24</v>
      </c>
      <c r="E9">
        <v>3</v>
      </c>
      <c r="F9">
        <v>35.948107014137001</v>
      </c>
      <c r="G9">
        <v>280.94710012800198</v>
      </c>
      <c r="H9">
        <v>3.7623082191293298</v>
      </c>
      <c r="I9">
        <v>51.765704908696101</v>
      </c>
      <c r="J9">
        <v>34.760676979012302</v>
      </c>
      <c r="K9">
        <v>43.263190943854198</v>
      </c>
    </row>
    <row r="10" spans="1:15" x14ac:dyDescent="0.25">
      <c r="A10">
        <v>9</v>
      </c>
      <c r="B10">
        <v>2</v>
      </c>
      <c r="C10" t="s">
        <v>26</v>
      </c>
      <c r="D10" t="s">
        <v>24</v>
      </c>
      <c r="E10">
        <v>4</v>
      </c>
      <c r="F10">
        <v>25.305217899617901</v>
      </c>
      <c r="G10">
        <v>73.420365701257893</v>
      </c>
      <c r="H10">
        <v>2.1194021151076998</v>
      </c>
      <c r="I10">
        <v>62.470331571358898</v>
      </c>
      <c r="J10">
        <v>29.156728227326099</v>
      </c>
      <c r="K10">
        <v>45.813529899342498</v>
      </c>
    </row>
    <row r="11" spans="1:15" x14ac:dyDescent="0.25">
      <c r="A11">
        <v>10</v>
      </c>
      <c r="B11">
        <v>2</v>
      </c>
      <c r="C11" t="s">
        <v>26</v>
      </c>
      <c r="D11" t="s">
        <v>24</v>
      </c>
      <c r="E11">
        <v>4</v>
      </c>
      <c r="F11">
        <v>37.227312829426502</v>
      </c>
      <c r="G11">
        <v>269.12469990365599</v>
      </c>
      <c r="H11">
        <v>5.4444518217455604</v>
      </c>
      <c r="I11">
        <v>51.064811740939298</v>
      </c>
      <c r="J11">
        <v>45.185133134094997</v>
      </c>
      <c r="K11">
        <v>48.124972437517201</v>
      </c>
    </row>
    <row r="12" spans="1:15" x14ac:dyDescent="0.25">
      <c r="A12">
        <v>11</v>
      </c>
      <c r="B12">
        <v>2</v>
      </c>
      <c r="C12" t="s">
        <v>26</v>
      </c>
      <c r="D12" t="s">
        <v>24</v>
      </c>
      <c r="E12">
        <v>4</v>
      </c>
      <c r="F12">
        <v>39.182849750277803</v>
      </c>
      <c r="G12">
        <v>80.621168959647704</v>
      </c>
      <c r="H12">
        <v>2.8642672119168902</v>
      </c>
      <c r="I12">
        <v>52.1398886617012</v>
      </c>
      <c r="J12">
        <v>46.941392932083303</v>
      </c>
      <c r="K12">
        <v>49.540640796892298</v>
      </c>
    </row>
    <row r="13" spans="1:15" x14ac:dyDescent="0.25">
      <c r="A13">
        <v>12</v>
      </c>
      <c r="B13">
        <v>2</v>
      </c>
      <c r="C13" t="s">
        <v>26</v>
      </c>
      <c r="D13" t="s">
        <v>24</v>
      </c>
      <c r="E13">
        <v>4</v>
      </c>
      <c r="F13">
        <v>37.851391026017502</v>
      </c>
      <c r="G13">
        <v>66.842948285779997</v>
      </c>
      <c r="H13">
        <v>2.3753425730993101</v>
      </c>
      <c r="I13">
        <v>52.343607261208597</v>
      </c>
      <c r="J13">
        <v>49.270227279868699</v>
      </c>
      <c r="K13">
        <v>50.806917270538598</v>
      </c>
    </row>
    <row r="14" spans="1:15" x14ac:dyDescent="0.25">
      <c r="A14">
        <v>13</v>
      </c>
      <c r="B14">
        <v>3</v>
      </c>
      <c r="C14" t="s">
        <v>26</v>
      </c>
      <c r="D14" t="s">
        <v>24</v>
      </c>
      <c r="E14">
        <v>4</v>
      </c>
      <c r="F14">
        <v>30.700941163418499</v>
      </c>
      <c r="G14">
        <v>83.164900963959795</v>
      </c>
      <c r="H14">
        <v>3.5971842835210399</v>
      </c>
      <c r="I14">
        <v>56.1647026704712</v>
      </c>
      <c r="J14">
        <v>34.664982802298397</v>
      </c>
      <c r="K14">
        <v>45.414842736384799</v>
      </c>
    </row>
    <row r="15" spans="1:15" x14ac:dyDescent="0.25">
      <c r="A15">
        <v>14</v>
      </c>
      <c r="B15">
        <v>3</v>
      </c>
      <c r="C15" t="s">
        <v>26</v>
      </c>
      <c r="D15" t="s">
        <v>24</v>
      </c>
      <c r="E15">
        <v>3.5</v>
      </c>
      <c r="F15">
        <v>46.493287880960203</v>
      </c>
      <c r="G15">
        <v>142.44396656817801</v>
      </c>
      <c r="H15">
        <v>8.4669023052047301</v>
      </c>
      <c r="I15">
        <v>49.221829491325401</v>
      </c>
      <c r="J15">
        <v>47.856856991531401</v>
      </c>
      <c r="K15">
        <v>48.539343241428398</v>
      </c>
    </row>
    <row r="16" spans="1:15" x14ac:dyDescent="0.25">
      <c r="A16">
        <v>15</v>
      </c>
      <c r="B16">
        <v>3</v>
      </c>
      <c r="C16" t="s">
        <v>26</v>
      </c>
      <c r="D16" t="s">
        <v>24</v>
      </c>
      <c r="E16">
        <v>2</v>
      </c>
      <c r="F16">
        <v>21.004742240520901</v>
      </c>
      <c r="G16">
        <v>62.342816129289801</v>
      </c>
      <c r="H16">
        <v>5.2082756502663399</v>
      </c>
      <c r="I16">
        <v>64.255069259635903</v>
      </c>
      <c r="J16">
        <v>26.985341144946599</v>
      </c>
      <c r="K16">
        <v>45.620205202291302</v>
      </c>
    </row>
    <row r="17" spans="1:11" x14ac:dyDescent="0.25">
      <c r="A17">
        <v>16</v>
      </c>
      <c r="B17">
        <v>3</v>
      </c>
      <c r="C17" t="s">
        <v>26</v>
      </c>
      <c r="D17" t="s">
        <v>24</v>
      </c>
      <c r="E17">
        <v>3</v>
      </c>
      <c r="F17">
        <v>34.407333055766003</v>
      </c>
      <c r="G17">
        <v>74.557685367212301</v>
      </c>
      <c r="H17">
        <v>5.4714925908752399</v>
      </c>
      <c r="I17">
        <v>51.053544753801901</v>
      </c>
      <c r="J17">
        <v>42.968277769280398</v>
      </c>
      <c r="K17">
        <v>47.010911261541203</v>
      </c>
    </row>
    <row r="18" spans="1:11" x14ac:dyDescent="0.25">
      <c r="A18">
        <v>17</v>
      </c>
      <c r="B18">
        <v>3</v>
      </c>
      <c r="C18" t="s">
        <v>26</v>
      </c>
      <c r="D18" t="s">
        <v>24</v>
      </c>
      <c r="E18">
        <v>2</v>
      </c>
      <c r="F18">
        <v>24.087226863374202</v>
      </c>
      <c r="G18">
        <v>50.314415004615803</v>
      </c>
      <c r="H18">
        <v>3.0965719064991402</v>
      </c>
      <c r="I18">
        <v>67.775963586621501</v>
      </c>
      <c r="J18">
        <v>28.573381044134202</v>
      </c>
      <c r="K18">
        <v>48.174672315377897</v>
      </c>
    </row>
    <row r="19" spans="1:11" x14ac:dyDescent="0.25">
      <c r="A19">
        <v>18</v>
      </c>
      <c r="B19">
        <v>3</v>
      </c>
      <c r="C19" t="s">
        <v>26</v>
      </c>
      <c r="D19" t="s">
        <v>24</v>
      </c>
      <c r="E19">
        <v>3.5</v>
      </c>
      <c r="F19">
        <v>35.630498110216998</v>
      </c>
      <c r="G19">
        <v>91.557912277231793</v>
      </c>
      <c r="H19">
        <v>4.5692161801506703</v>
      </c>
      <c r="I19">
        <v>51.429493258270497</v>
      </c>
      <c r="J19">
        <v>53.848317539448601</v>
      </c>
      <c r="K19">
        <v>52.638905398859599</v>
      </c>
    </row>
    <row r="20" spans="1:11" x14ac:dyDescent="0.25">
      <c r="A20">
        <v>19</v>
      </c>
      <c r="B20">
        <v>4</v>
      </c>
      <c r="C20" t="s">
        <v>22</v>
      </c>
      <c r="D20">
        <v>3</v>
      </c>
      <c r="E20">
        <v>3</v>
      </c>
      <c r="F20">
        <v>35.661938494417299</v>
      </c>
      <c r="G20">
        <v>91.357295591466993</v>
      </c>
      <c r="H20">
        <v>2.4439409074151501</v>
      </c>
      <c r="I20">
        <v>52.315024621910297</v>
      </c>
      <c r="J20">
        <v>54.032095406177497</v>
      </c>
      <c r="K20">
        <v>53.1735600140439</v>
      </c>
    </row>
    <row r="21" spans="1:11" x14ac:dyDescent="0.25">
      <c r="A21">
        <v>20</v>
      </c>
      <c r="B21">
        <v>4</v>
      </c>
      <c r="C21" t="s">
        <v>22</v>
      </c>
      <c r="D21">
        <v>3.5</v>
      </c>
      <c r="E21">
        <v>3.5</v>
      </c>
      <c r="F21">
        <v>40.7457283391769</v>
      </c>
      <c r="G21">
        <v>87.794676419158705</v>
      </c>
      <c r="H21">
        <v>4.9272546394822303</v>
      </c>
      <c r="I21">
        <v>51.280310566882399</v>
      </c>
      <c r="J21">
        <v>41.391753263297403</v>
      </c>
      <c r="K21">
        <v>46.336031915089897</v>
      </c>
    </row>
    <row r="22" spans="1:11" x14ac:dyDescent="0.25">
      <c r="A22">
        <v>21</v>
      </c>
      <c r="B22">
        <v>4</v>
      </c>
      <c r="C22" t="s">
        <v>22</v>
      </c>
      <c r="D22">
        <v>3.8</v>
      </c>
      <c r="E22">
        <v>3.5</v>
      </c>
      <c r="F22">
        <v>45.5816895824235</v>
      </c>
      <c r="G22">
        <v>62.992472897103902</v>
      </c>
      <c r="H22">
        <v>2.42740656768206</v>
      </c>
      <c r="I22">
        <v>52.321913930132403</v>
      </c>
      <c r="J22">
        <v>31.821402728977301</v>
      </c>
      <c r="K22">
        <v>42.0716583295549</v>
      </c>
    </row>
    <row r="23" spans="1:11" x14ac:dyDescent="0.25">
      <c r="A23">
        <v>22</v>
      </c>
      <c r="B23">
        <v>4</v>
      </c>
      <c r="C23" t="s">
        <v>22</v>
      </c>
      <c r="D23">
        <v>3</v>
      </c>
      <c r="E23">
        <v>4</v>
      </c>
      <c r="F23">
        <v>40.069237243025597</v>
      </c>
      <c r="G23">
        <v>77.974219356088199</v>
      </c>
      <c r="H23">
        <v>7.5994949591035503</v>
      </c>
      <c r="I23">
        <v>50.166877100373497</v>
      </c>
      <c r="J23">
        <v>42.6758025825754</v>
      </c>
      <c r="K23">
        <v>46.421339841474399</v>
      </c>
    </row>
    <row r="24" spans="1:11" x14ac:dyDescent="0.25">
      <c r="A24">
        <v>23</v>
      </c>
      <c r="B24">
        <v>4</v>
      </c>
      <c r="C24" t="s">
        <v>22</v>
      </c>
      <c r="D24">
        <v>4</v>
      </c>
      <c r="E24">
        <v>3.5</v>
      </c>
      <c r="F24">
        <v>46.706560324881103</v>
      </c>
      <c r="G24">
        <v>110.62123277230501</v>
      </c>
      <c r="H24">
        <v>6.8731906416654001</v>
      </c>
      <c r="I24">
        <v>50.469503899305998</v>
      </c>
      <c r="J24">
        <v>43.594810878161702</v>
      </c>
      <c r="K24">
        <v>47.0321573887339</v>
      </c>
    </row>
    <row r="25" spans="1:11" x14ac:dyDescent="0.25">
      <c r="A25">
        <v>24</v>
      </c>
      <c r="B25">
        <v>4</v>
      </c>
      <c r="C25" t="s">
        <v>22</v>
      </c>
      <c r="D25">
        <v>3.7</v>
      </c>
      <c r="E25">
        <v>4</v>
      </c>
      <c r="F25">
        <v>35.114207145157799</v>
      </c>
      <c r="G25">
        <v>49.686966024259704</v>
      </c>
      <c r="H25">
        <v>4.7990299102723597</v>
      </c>
      <c r="I25">
        <v>56.490254525256603</v>
      </c>
      <c r="J25">
        <v>40.866846273329401</v>
      </c>
      <c r="K25">
        <v>48.678550399293002</v>
      </c>
    </row>
    <row r="26" spans="1:11" x14ac:dyDescent="0.25">
      <c r="A26">
        <v>25</v>
      </c>
      <c r="B26">
        <v>5</v>
      </c>
      <c r="C26" t="s">
        <v>22</v>
      </c>
      <c r="D26">
        <v>3.8</v>
      </c>
      <c r="E26">
        <v>3.5</v>
      </c>
      <c r="F26">
        <v>32.973511896544103</v>
      </c>
      <c r="G26">
        <v>59.9552809866125</v>
      </c>
      <c r="H26">
        <v>4.0050015815855398</v>
      </c>
      <c r="I26">
        <v>51.686942181032997</v>
      </c>
      <c r="J26">
        <v>37.464206508375199</v>
      </c>
      <c r="K26">
        <v>44.575574344704101</v>
      </c>
    </row>
    <row r="27" spans="1:11" x14ac:dyDescent="0.25">
      <c r="A27">
        <v>26</v>
      </c>
      <c r="B27">
        <v>5</v>
      </c>
      <c r="C27" t="s">
        <v>22</v>
      </c>
      <c r="D27">
        <v>3.8</v>
      </c>
      <c r="E27">
        <v>2.7</v>
      </c>
      <c r="F27">
        <v>42.083472105062597</v>
      </c>
      <c r="G27">
        <v>68.4463151315597</v>
      </c>
      <c r="H27">
        <v>5.53500954108807</v>
      </c>
      <c r="I27">
        <v>51.027079357879899</v>
      </c>
      <c r="J27">
        <v>37.7073200923776</v>
      </c>
      <c r="K27">
        <v>44.367199725128799</v>
      </c>
    </row>
    <row r="28" spans="1:11" x14ac:dyDescent="0.25">
      <c r="A28">
        <v>27</v>
      </c>
      <c r="B28">
        <v>5</v>
      </c>
      <c r="C28" t="s">
        <v>22</v>
      </c>
      <c r="D28">
        <v>4</v>
      </c>
      <c r="E28">
        <v>3</v>
      </c>
      <c r="F28">
        <v>35.532051723977503</v>
      </c>
      <c r="G28">
        <v>77.410991540894003</v>
      </c>
      <c r="H28">
        <v>7.7881673869217503</v>
      </c>
      <c r="I28">
        <v>50.088263588782603</v>
      </c>
      <c r="J28">
        <v>47.177187177784198</v>
      </c>
      <c r="K28">
        <v>48.6327253832834</v>
      </c>
    </row>
    <row r="29" spans="1:11" x14ac:dyDescent="0.25">
      <c r="A29">
        <v>28</v>
      </c>
      <c r="B29">
        <v>5</v>
      </c>
      <c r="C29" t="s">
        <v>22</v>
      </c>
      <c r="D29">
        <v>4</v>
      </c>
      <c r="E29">
        <v>3</v>
      </c>
      <c r="F29">
        <v>42.728413862761698</v>
      </c>
      <c r="G29">
        <v>102.96085049331801</v>
      </c>
      <c r="H29">
        <v>8.8907491395392597</v>
      </c>
      <c r="I29">
        <v>48.515418100767903</v>
      </c>
      <c r="J29">
        <v>47.458056687042898</v>
      </c>
      <c r="K29">
        <v>47.9867373939054</v>
      </c>
    </row>
    <row r="30" spans="1:11" x14ac:dyDescent="0.25">
      <c r="A30">
        <v>29</v>
      </c>
      <c r="B30">
        <v>5</v>
      </c>
      <c r="C30" t="s">
        <v>22</v>
      </c>
      <c r="D30">
        <v>3.8</v>
      </c>
      <c r="E30">
        <v>3</v>
      </c>
      <c r="F30">
        <v>47.290019713285197</v>
      </c>
      <c r="G30">
        <v>86.084519203482401</v>
      </c>
      <c r="H30">
        <v>9.7008899873302994</v>
      </c>
      <c r="I30">
        <v>47.165183354449397</v>
      </c>
      <c r="J30">
        <v>36.310717782034601</v>
      </c>
      <c r="K30">
        <v>41.737950568241999</v>
      </c>
    </row>
    <row r="31" spans="1:11" x14ac:dyDescent="0.25">
      <c r="A31">
        <v>30</v>
      </c>
      <c r="B31">
        <v>5</v>
      </c>
      <c r="C31" t="s">
        <v>22</v>
      </c>
      <c r="D31">
        <v>4</v>
      </c>
      <c r="E31">
        <v>3.3</v>
      </c>
      <c r="F31">
        <v>37.995156424265602</v>
      </c>
      <c r="G31">
        <v>97.622843857460097</v>
      </c>
      <c r="H31">
        <v>5.7960212097848602</v>
      </c>
      <c r="I31">
        <v>50.918324495922903</v>
      </c>
      <c r="J31">
        <v>59.986886634101097</v>
      </c>
      <c r="K31">
        <v>55.452605565012</v>
      </c>
    </row>
    <row r="32" spans="1:11" x14ac:dyDescent="0.25">
      <c r="A32">
        <v>31</v>
      </c>
      <c r="B32">
        <v>6</v>
      </c>
      <c r="C32" t="s">
        <v>22</v>
      </c>
      <c r="D32">
        <v>4.0999999999999996</v>
      </c>
      <c r="E32">
        <v>3.5</v>
      </c>
      <c r="F32">
        <v>39.056450444961399</v>
      </c>
      <c r="G32">
        <v>86.152726795890004</v>
      </c>
      <c r="H32">
        <v>2.5975638919161899</v>
      </c>
      <c r="I32">
        <v>52.251015045034897</v>
      </c>
      <c r="J32">
        <v>50.699480582649301</v>
      </c>
      <c r="K32">
        <v>51.475247813842103</v>
      </c>
    </row>
    <row r="33" spans="1:11" x14ac:dyDescent="0.25">
      <c r="A33">
        <v>32</v>
      </c>
      <c r="B33">
        <v>6</v>
      </c>
      <c r="C33" t="s">
        <v>22</v>
      </c>
      <c r="D33">
        <v>3.8</v>
      </c>
      <c r="E33">
        <v>2.7</v>
      </c>
      <c r="F33">
        <v>37.208591762344</v>
      </c>
      <c r="G33">
        <v>65.362096184607793</v>
      </c>
      <c r="H33">
        <v>3.6973718586829598</v>
      </c>
      <c r="I33">
        <v>51.792761725548701</v>
      </c>
      <c r="J33">
        <v>48.523408291786801</v>
      </c>
      <c r="K33">
        <v>50.158085008667697</v>
      </c>
    </row>
    <row r="34" spans="1:11" x14ac:dyDescent="0.25">
      <c r="A34">
        <v>33</v>
      </c>
      <c r="B34">
        <v>6</v>
      </c>
      <c r="C34" t="s">
        <v>22</v>
      </c>
      <c r="D34">
        <v>4.0999999999999996</v>
      </c>
      <c r="E34">
        <v>3.5</v>
      </c>
      <c r="F34">
        <v>44.640327390548102</v>
      </c>
      <c r="G34">
        <v>64.0822950597302</v>
      </c>
      <c r="H34">
        <v>2.9120617220510998</v>
      </c>
      <c r="I34">
        <v>52.119974282478701</v>
      </c>
      <c r="J34">
        <v>33.2112846749841</v>
      </c>
      <c r="K34">
        <v>42.665629478731397</v>
      </c>
    </row>
    <row r="35" spans="1:11" x14ac:dyDescent="0.25">
      <c r="A35">
        <v>34</v>
      </c>
      <c r="B35">
        <v>6</v>
      </c>
      <c r="C35" t="s">
        <v>22</v>
      </c>
      <c r="D35">
        <v>4.2</v>
      </c>
      <c r="E35">
        <v>3</v>
      </c>
      <c r="F35">
        <v>41.484245293550899</v>
      </c>
      <c r="G35">
        <v>71.957620920315193</v>
      </c>
      <c r="H35">
        <v>1.6338426067754701</v>
      </c>
      <c r="I35">
        <v>52.652565580510199</v>
      </c>
      <c r="J35">
        <v>40.523872400167498</v>
      </c>
      <c r="K35">
        <v>46.588218990338802</v>
      </c>
    </row>
    <row r="36" spans="1:11" x14ac:dyDescent="0.25">
      <c r="A36">
        <v>35</v>
      </c>
      <c r="B36">
        <v>6</v>
      </c>
      <c r="C36" t="s">
        <v>22</v>
      </c>
      <c r="D36">
        <v>4</v>
      </c>
      <c r="E36">
        <v>3</v>
      </c>
      <c r="F36">
        <v>33.167854694556297</v>
      </c>
      <c r="G36">
        <v>85.258481528026394</v>
      </c>
      <c r="H36">
        <v>4.1143947199075699</v>
      </c>
      <c r="I36">
        <v>51.619002200038501</v>
      </c>
      <c r="J36">
        <v>41.750282449396501</v>
      </c>
      <c r="K36">
        <v>46.684642324717501</v>
      </c>
    </row>
    <row r="37" spans="1:11" x14ac:dyDescent="0.25">
      <c r="A37">
        <v>36</v>
      </c>
      <c r="B37">
        <v>6</v>
      </c>
      <c r="C37" t="s">
        <v>22</v>
      </c>
      <c r="D37">
        <v>4.0999999999999996</v>
      </c>
      <c r="E37">
        <v>3</v>
      </c>
      <c r="F37">
        <v>36.656462530600002</v>
      </c>
      <c r="G37">
        <v>82.738455211532994</v>
      </c>
      <c r="H37">
        <v>3.4771492103014201</v>
      </c>
      <c r="I37">
        <v>51.884521162374398</v>
      </c>
      <c r="J37">
        <v>50.199235956531403</v>
      </c>
      <c r="K37">
        <v>51.041878559452897</v>
      </c>
    </row>
    <row r="38" spans="1:11" x14ac:dyDescent="0.25">
      <c r="A38">
        <v>37</v>
      </c>
      <c r="B38">
        <v>6</v>
      </c>
      <c r="C38" t="s">
        <v>23</v>
      </c>
      <c r="D38" t="s">
        <v>24</v>
      </c>
      <c r="E38" t="s">
        <v>24</v>
      </c>
      <c r="F38">
        <v>119.231682232723</v>
      </c>
      <c r="G38">
        <v>125.780895047203</v>
      </c>
      <c r="H38">
        <v>25.829645735018499</v>
      </c>
      <c r="I38">
        <v>36.6666666666666</v>
      </c>
      <c r="J38">
        <v>26.470371302082199</v>
      </c>
      <c r="K38">
        <v>31.5685189843744</v>
      </c>
    </row>
    <row r="39" spans="1:11" x14ac:dyDescent="0.25">
      <c r="A39" s="3">
        <v>38</v>
      </c>
      <c r="B39" s="3" t="s">
        <v>36</v>
      </c>
      <c r="C39" s="3" t="s">
        <v>37</v>
      </c>
      <c r="D39" s="3"/>
      <c r="E39" s="3"/>
      <c r="F39" s="4">
        <v>25.832929170445802</v>
      </c>
      <c r="G39" s="4">
        <v>199.986681450047</v>
      </c>
      <c r="H39" s="4">
        <v>9.7406743718929505</v>
      </c>
      <c r="I39" s="4">
        <v>56.742021877478997</v>
      </c>
      <c r="J39" s="4">
        <v>23.948413761127501</v>
      </c>
      <c r="K39" s="4">
        <v>40.345217819303301</v>
      </c>
    </row>
    <row r="40" spans="1:11" x14ac:dyDescent="0.25">
      <c r="A40" s="3">
        <v>39</v>
      </c>
      <c r="B40" s="3" t="s">
        <v>36</v>
      </c>
      <c r="C40" s="3" t="s">
        <v>37</v>
      </c>
      <c r="D40" s="3"/>
      <c r="E40" s="3"/>
      <c r="F40" s="4">
        <v>48.632987242530596</v>
      </c>
      <c r="G40" s="4">
        <v>211.88384930997901</v>
      </c>
      <c r="H40" s="4">
        <v>14.8683958125259</v>
      </c>
      <c r="I40" s="4">
        <v>41.798270854140803</v>
      </c>
      <c r="J40" s="4">
        <v>27.810669445131602</v>
      </c>
      <c r="K40" s="4">
        <v>34.804470149636202</v>
      </c>
    </row>
    <row r="41" spans="1:11" x14ac:dyDescent="0.25">
      <c r="A41" s="3">
        <v>40</v>
      </c>
      <c r="B41" s="3" t="s">
        <v>36</v>
      </c>
      <c r="C41" s="3" t="s">
        <v>37</v>
      </c>
      <c r="D41" s="3"/>
      <c r="E41" s="3"/>
      <c r="F41" s="4">
        <v>54.897217922271501</v>
      </c>
      <c r="G41" s="4">
        <v>333.43576827085002</v>
      </c>
      <c r="H41" s="4">
        <v>20.134531451879401</v>
      </c>
      <c r="I41" s="4">
        <v>36.6666666666667</v>
      </c>
      <c r="J41" s="4">
        <v>20.268394117320401</v>
      </c>
      <c r="K41" s="4">
        <v>28.467530391993499</v>
      </c>
    </row>
    <row r="42" spans="1:11" x14ac:dyDescent="0.25">
      <c r="A42" s="3">
        <v>41</v>
      </c>
      <c r="B42" s="3" t="s">
        <v>38</v>
      </c>
      <c r="C42" s="3" t="s">
        <v>37</v>
      </c>
      <c r="D42" s="3"/>
      <c r="E42" s="3"/>
      <c r="F42" s="4">
        <v>42.078080667013303</v>
      </c>
      <c r="G42" s="4">
        <v>79.124633246878005</v>
      </c>
      <c r="H42" s="4">
        <v>17.2808306742123</v>
      </c>
      <c r="I42" s="4">
        <v>39.385835992454403</v>
      </c>
      <c r="J42" s="4">
        <v>49.611083901930598</v>
      </c>
      <c r="K42" s="4">
        <v>44.498459947192501</v>
      </c>
    </row>
    <row r="43" spans="1:11" x14ac:dyDescent="0.25">
      <c r="A43" s="3">
        <v>42</v>
      </c>
      <c r="B43" s="3" t="s">
        <v>38</v>
      </c>
      <c r="C43" s="3" t="s">
        <v>37</v>
      </c>
      <c r="D43" s="3"/>
      <c r="E43" s="3"/>
      <c r="F43" s="4">
        <v>26.070026712389598</v>
      </c>
      <c r="G43" s="4">
        <v>29.4458785606971</v>
      </c>
      <c r="H43" s="4">
        <v>10.4189326356182</v>
      </c>
      <c r="I43" s="4">
        <v>70.412245114269894</v>
      </c>
      <c r="J43" s="4">
        <v>27.160191012491101</v>
      </c>
      <c r="K43" s="4">
        <v>48.786218063380502</v>
      </c>
    </row>
    <row r="44" spans="1:11" x14ac:dyDescent="0.25">
      <c r="A44" s="3">
        <v>43</v>
      </c>
      <c r="B44" s="3" t="s">
        <v>38</v>
      </c>
      <c r="C44" s="3" t="s">
        <v>37</v>
      </c>
      <c r="D44" s="3"/>
      <c r="E44" s="3"/>
      <c r="F44" s="4">
        <v>33.430359709187996</v>
      </c>
      <c r="G44" s="4">
        <v>28.576763823135799</v>
      </c>
      <c r="H44" s="4">
        <v>13.145082944205599</v>
      </c>
      <c r="I44" s="4">
        <v>58.598577578845202</v>
      </c>
      <c r="J44" s="4">
        <v>33.760444598558799</v>
      </c>
      <c r="K44" s="4">
        <v>46.179511088702</v>
      </c>
    </row>
    <row r="45" spans="1:11" x14ac:dyDescent="0.25">
      <c r="A45" s="3">
        <v>44</v>
      </c>
      <c r="B45" s="3" t="s">
        <v>39</v>
      </c>
      <c r="C45" s="3" t="s">
        <v>37</v>
      </c>
      <c r="D45" s="3"/>
      <c r="E45" s="3"/>
      <c r="F45" s="4">
        <v>11.4444955683049</v>
      </c>
      <c r="G45" s="4">
        <v>23.303516988586299</v>
      </c>
      <c r="H45" s="4">
        <v>14.716334746583501</v>
      </c>
      <c r="I45" s="4">
        <v>78.546865942735096</v>
      </c>
      <c r="J45" s="4">
        <v>22.992007032065601</v>
      </c>
      <c r="K45" s="4">
        <v>50.769436487400299</v>
      </c>
    </row>
    <row r="46" spans="1:11" x14ac:dyDescent="0.25">
      <c r="A46" s="3">
        <v>45</v>
      </c>
      <c r="B46" s="3" t="s">
        <v>39</v>
      </c>
      <c r="C46" s="3" t="s">
        <v>37</v>
      </c>
      <c r="D46" s="3"/>
      <c r="E46" s="3"/>
      <c r="F46" s="4">
        <v>17.589822686208599</v>
      </c>
      <c r="G46" s="4">
        <v>12.9350747961652</v>
      </c>
      <c r="H46" s="4">
        <v>15.8309411938639</v>
      </c>
      <c r="I46" s="4">
        <v>74.642127866974704</v>
      </c>
      <c r="J46" s="4">
        <v>24.413336597522399</v>
      </c>
      <c r="K46" s="4">
        <v>49.527732232248503</v>
      </c>
    </row>
    <row r="47" spans="1:11" x14ac:dyDescent="0.25">
      <c r="A47" s="3">
        <v>46</v>
      </c>
      <c r="B47" s="3" t="s">
        <v>39</v>
      </c>
      <c r="C47" s="3" t="s">
        <v>37</v>
      </c>
      <c r="D47" s="3"/>
      <c r="E47" s="3"/>
      <c r="F47" s="4">
        <v>147.24237272681401</v>
      </c>
      <c r="G47" s="4">
        <v>294.03847545194202</v>
      </c>
      <c r="H47" s="4">
        <v>28.681787610903299</v>
      </c>
      <c r="I47" s="4">
        <v>36.6666666666667</v>
      </c>
      <c r="J47" s="4">
        <v>14.537446730354199</v>
      </c>
      <c r="K47" s="4">
        <v>25.602056698510399</v>
      </c>
    </row>
  </sheetData>
  <dataValidations count="1">
    <dataValidation type="list" allowBlank="1" showInputMessage="1" showErrorMessage="1" sqref="C39 C2:C1048576" xr:uid="{FDC291FB-4D1F-4C8A-9374-F062DFCA9B6F}">
      <formula1>"No_coach, W/ coach, Deliberate error, Normal, deliberate error"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Thresholds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 Sethia</dc:creator>
  <cp:lastModifiedBy>Kush Sethia</cp:lastModifiedBy>
  <dcterms:created xsi:type="dcterms:W3CDTF">2026-10-29T22:09:57Z</dcterms:created>
  <dcterms:modified xsi:type="dcterms:W3CDTF">2026-10-31T17:30:20Z</dcterms:modified>
</cp:coreProperties>
</file>